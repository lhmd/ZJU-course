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7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<sst xmlns="http://schemas.openxmlformats.org/spreadsheetml/2006/main" count="22" uniqueCount="10">
  <si>
    <t>第一次实验</t>
  </si>
  <si>
    <t>样品点编号</t>
  </si>
  <si>
    <t>距离离心管底部的大小（m）</t>
  </si>
  <si>
    <t>纳米金晶体浓度相对大小</t>
  </si>
  <si>
    <t>平均：</t>
  </si>
  <si>
    <t>左侧为此次实验纳米金晶体的半径三次方</t>
  </si>
  <si>
    <t>第二次实验</t>
  </si>
  <si>
    <t>直径为(m)：</t>
  </si>
  <si>
    <t>第三次实验</t>
  </si>
  <si>
    <t>最终结果(m)：</t>
  </si>
</sst>
</file>

<file path=xl/styles.xml><?xml version="1.0" encoding="utf-8"?>
<styleSheet xmlns="http://schemas.openxmlformats.org/spreadsheetml/2006/main">
  <numFmts count="5">
    <numFmt numFmtId="176" formatCode="0.0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333333"/>
      <name val="宋体"/>
      <charset val="134"/>
      <scheme val="major"/>
    </font>
    <font>
      <sz val="11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14" fillId="17" borderId="3" applyNumberFormat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G6" sqref="G6"/>
    </sheetView>
  </sheetViews>
  <sheetFormatPr defaultColWidth="9" defaultRowHeight="14" outlineLevelCol="7"/>
  <cols>
    <col min="1" max="1" width="29.8909090909091" customWidth="1"/>
    <col min="2" max="6" width="12.8909090909091"/>
    <col min="7" max="8" width="12.8181818181818"/>
  </cols>
  <sheetData>
    <row r="1" spans="1:1">
      <c r="A1" s="1" t="s">
        <v>0</v>
      </c>
    </row>
    <row r="2" spans="1:6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</row>
    <row r="3" ht="15" spans="1:6">
      <c r="A3" s="3" t="s">
        <v>2</v>
      </c>
      <c r="B3" s="4">
        <v>0.005</v>
      </c>
      <c r="C3" s="5">
        <v>0.025</v>
      </c>
      <c r="D3" s="5">
        <v>0.045</v>
      </c>
      <c r="E3" s="5">
        <v>0.065</v>
      </c>
      <c r="F3" s="4">
        <v>0.085</v>
      </c>
    </row>
    <row r="4" ht="15" spans="1:6">
      <c r="A4" s="3" t="s">
        <v>3</v>
      </c>
      <c r="B4" s="6">
        <v>9.4</v>
      </c>
      <c r="C4" s="5">
        <v>5.35</v>
      </c>
      <c r="D4" s="7">
        <v>3.07</v>
      </c>
      <c r="E4" s="7">
        <v>1.76</v>
      </c>
      <c r="F4" s="5">
        <v>1</v>
      </c>
    </row>
    <row r="5" spans="2:8">
      <c r="B5">
        <f>8.31451*300/(-4/3*PI()*(19.32-0.872)*9.8*6.02214076*(10^23)*(C3-B3))*LN(C4/B4)</f>
        <v>1.54132471515602e-22</v>
      </c>
      <c r="C5">
        <f>8.31451*300/(-4/3*PI()*(19.32-0.872)*9.8*6.02214076*(10^23)*(D3-C3))*LN(D4/C4)</f>
        <v>1.5189160575104e-22</v>
      </c>
      <c r="D5">
        <f>8.31451*300/(-4/3*PI()*(19.32-0.872)*9.8*6.02214076*(10^23)*(E3-D3))*LN(E4/D4)</f>
        <v>1.52149969413206e-22</v>
      </c>
      <c r="E5">
        <f>8.31451*300/(-4/3*PI()*(19.32-0.872)*9.8*6.02214076*(10^23)*(F3-E3))*LN(F4/E4)</f>
        <v>1.54597560250382e-22</v>
      </c>
      <c r="F5" t="s">
        <v>4</v>
      </c>
      <c r="G5">
        <f>AVERAGE(B5,C5,D5,E5)</f>
        <v>1.53192901732558e-22</v>
      </c>
      <c r="H5" t="s">
        <v>5</v>
      </c>
    </row>
    <row r="6" spans="1:8">
      <c r="A6" s="1" t="s">
        <v>6</v>
      </c>
      <c r="G6" t="s">
        <v>7</v>
      </c>
      <c r="H6">
        <f>G5^(1/3)*2</f>
        <v>1.07014561556843e-7</v>
      </c>
    </row>
    <row r="7" spans="1:6">
      <c r="A7" s="2" t="s">
        <v>1</v>
      </c>
      <c r="B7" s="3">
        <v>1</v>
      </c>
      <c r="C7" s="3">
        <v>2</v>
      </c>
      <c r="D7" s="3">
        <v>3</v>
      </c>
      <c r="E7" s="3">
        <v>4</v>
      </c>
      <c r="F7" s="3">
        <v>5</v>
      </c>
    </row>
    <row r="8" ht="15" spans="1:6">
      <c r="A8" s="3" t="s">
        <v>2</v>
      </c>
      <c r="B8" s="4">
        <v>0.05</v>
      </c>
      <c r="C8" s="5">
        <v>0.06</v>
      </c>
      <c r="D8" s="5">
        <v>0.07</v>
      </c>
      <c r="E8" s="5">
        <v>0.08</v>
      </c>
      <c r="F8" s="4">
        <v>0.09</v>
      </c>
    </row>
    <row r="9" ht="15" spans="1:6">
      <c r="A9" s="3" t="s">
        <v>3</v>
      </c>
      <c r="B9" s="6">
        <v>3.07</v>
      </c>
      <c r="C9" s="5">
        <v>2.32</v>
      </c>
      <c r="D9" s="7">
        <v>1.75</v>
      </c>
      <c r="E9" s="7">
        <v>1.33</v>
      </c>
      <c r="F9" s="5">
        <v>1</v>
      </c>
    </row>
    <row r="10" spans="2:8">
      <c r="B10">
        <f>8.31451*300/(-4/3*PI()*(19.32-0.872)*9.8*6.02214076*(10^23)*(C8-B8))*LN(C9/B9)</f>
        <v>1.53204751148585e-22</v>
      </c>
      <c r="C10">
        <f>8.31451*300/(-4/3*PI()*(19.32-0.872)*9.8*6.02214076*(10^23)*(D8-C8))*LN(D9/C9)</f>
        <v>1.54211687393475e-22</v>
      </c>
      <c r="D10">
        <f>8.31451*300/(-4/3*PI()*(19.32-0.872)*9.8*6.02214076*(10^23)*(E8-D8))*LN(E9/D9)</f>
        <v>1.50101646586686e-22</v>
      </c>
      <c r="E10">
        <f>8.31451*300/(-4/3*PI()*(19.32-0.872)*9.8*6.02214076*(10^23)*(F8-E8))*LN(F9/E9)</f>
        <v>1.55976974198431e-22</v>
      </c>
      <c r="F10" t="s">
        <v>4</v>
      </c>
      <c r="G10">
        <f>AVERAGE(B10,C10,D10,E10)</f>
        <v>1.53373764831794e-22</v>
      </c>
      <c r="H10" t="s">
        <v>5</v>
      </c>
    </row>
    <row r="11" spans="1:8">
      <c r="A11" s="1" t="s">
        <v>8</v>
      </c>
      <c r="B11"/>
      <c r="C11"/>
      <c r="D11"/>
      <c r="E11"/>
      <c r="F11"/>
      <c r="G11" t="s">
        <v>7</v>
      </c>
      <c r="H11">
        <f>G10^(1/3)*2</f>
        <v>1.07056659619825e-7</v>
      </c>
    </row>
    <row r="12" spans="1:6">
      <c r="A12" s="2" t="s">
        <v>1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</row>
    <row r="13" ht="15" spans="1:6">
      <c r="A13" s="3" t="s">
        <v>2</v>
      </c>
      <c r="B13" s="4">
        <v>0.01</v>
      </c>
      <c r="C13" s="5">
        <v>0.04</v>
      </c>
      <c r="D13" s="5">
        <v>0.07</v>
      </c>
      <c r="E13" s="5">
        <v>0.1</v>
      </c>
      <c r="F13" s="4">
        <v>0.13</v>
      </c>
    </row>
    <row r="14" ht="15" spans="1:6">
      <c r="A14" s="3" t="s">
        <v>3</v>
      </c>
      <c r="B14" s="6">
        <v>28.79</v>
      </c>
      <c r="C14" s="5">
        <v>12.42</v>
      </c>
      <c r="D14" s="7">
        <v>5.35</v>
      </c>
      <c r="E14" s="7">
        <v>2.33</v>
      </c>
      <c r="F14" s="5">
        <v>1</v>
      </c>
    </row>
    <row r="15" spans="2:8">
      <c r="B15">
        <f>8.31451*300/(-4/3*PI()*(19.32-0.872)*9.8*6.02214076*(10^23)*(C13-B13))*LN(C14/B14)</f>
        <v>1.53275653415927e-22</v>
      </c>
      <c r="C15">
        <f>8.31451*300/(-4/3*PI()*(19.32-0.872)*9.8*6.02214076*(10^23)*(D13-C13))*LN(D14/C14)</f>
        <v>1.53547573567949e-22</v>
      </c>
      <c r="D15">
        <f>8.31451*300/(-4/3*PI()*(19.32-0.872)*9.8*6.02214076*(10^23)*(E13-D13))*LN(E14/D14)</f>
        <v>1.51545170254957e-22</v>
      </c>
      <c r="E15">
        <f>8.31451*300/(-4/3*PI()*(19.32-0.872)*9.8*6.02214076*(10^23)*(F13-E13))*LN(F14/E14)</f>
        <v>1.54214253354796e-22</v>
      </c>
      <c r="F15" t="s">
        <v>4</v>
      </c>
      <c r="G15">
        <f>AVERAGE(B15,C15,D15,E15)</f>
        <v>1.53145662648407e-22</v>
      </c>
      <c r="H15" t="s">
        <v>5</v>
      </c>
    </row>
    <row r="16" spans="7:8">
      <c r="G16" t="s">
        <v>7</v>
      </c>
      <c r="H16">
        <f>G15^(1/3)*2</f>
        <v>1.07003560634627e-7</v>
      </c>
    </row>
    <row r="17" spans="2:3">
      <c r="B17" t="s">
        <v>9</v>
      </c>
      <c r="C17">
        <f>AVERAGE(H6,H11,H16)</f>
        <v>1.07024927270432e-7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DOOM</dc:creator>
  <cp:lastModifiedBy>王伟杰  恍然若梦 我心依旧</cp:lastModifiedBy>
  <dcterms:created xsi:type="dcterms:W3CDTF">2022-02-24T12:43:00Z</dcterms:created>
  <dcterms:modified xsi:type="dcterms:W3CDTF">2022-03-17T09:16:26Z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F871BA7D5E834BB090679D84C2EFA1F2</vt:lpwstr>
  </property>
</Properties>
</file>